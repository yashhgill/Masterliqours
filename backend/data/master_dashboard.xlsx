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660" windowWidth="25000" windowHeight="10000"/>
  </bookViews>
  <sheets>
    <sheet sheetId="1" name="Master Orders" state="visible" r:id="rId4"/>
  </sheets>
  <calcPr calcId="171027"/>
</workbook>
</file>

<file path=xl/sharedStrings.xml><?xml version="1.0" encoding="utf-8"?>
<sst xmlns="http://schemas.openxmlformats.org/spreadsheetml/2006/main" count="121" uniqueCount="65">
  <si>
    <t>👑  MASTER LIQUORS — BOSS DASHBOARD</t>
  </si>
  <si>
    <t>Order ID</t>
  </si>
  <si>
    <t>Customer Name</t>
  </si>
  <si>
    <t>Phone</t>
  </si>
  <si>
    <t>Address</t>
  </si>
  <si>
    <t>Items</t>
  </si>
  <si>
    <t>Total (RM)</t>
  </si>
  <si>
    <t>Staff</t>
  </si>
  <si>
    <t>Order Placed</t>
  </si>
  <si>
    <t>Date Accepted</t>
  </si>
  <si>
    <t>Date Out for Del.</t>
  </si>
  <si>
    <t>Date Fulfilled</t>
  </si>
  <si>
    <t>Status</t>
  </si>
  <si>
    <t>Notes</t>
  </si>
  <si>
    <t>ML-SAMPLE01</t>
  </si>
  <si>
    <t>Ahmad Razif</t>
  </si>
  <si>
    <t>60123456789</t>
  </si>
  <si>
    <t>Bangsar, KL</t>
  </si>
  <si>
    <t>2x JW Black, 1x Hendricks Gin</t>
  </si>
  <si>
    <t>Yash</t>
  </si>
  <si>
    <t>24/05/2026 15:57</t>
  </si>
  <si>
    <t>Accept</t>
  </si>
  <si>
    <t>Leave at front</t>
  </si>
  <si>
    <t>ML-SAMPLE02</t>
  </si>
  <si>
    <t>Priya Nair</t>
  </si>
  <si>
    <t>60187654321</t>
  </si>
  <si>
    <t>Mont Kiara, KL</t>
  </si>
  <si>
    <t>1x Hennessy VSOP, 1x Grey Goose</t>
  </si>
  <si>
    <t>24/05/2026 16:10</t>
  </si>
  <si>
    <t>24/05/2026 16:15</t>
  </si>
  <si>
    <t>24/05/2026 16:30</t>
  </si>
  <si>
    <t>Pending Delivery</t>
  </si>
  <si>
    <t>ML-SAMPLE03</t>
  </si>
  <si>
    <t>Jason Lim</t>
  </si>
  <si>
    <t>60111234567</t>
  </si>
  <si>
    <t>KLCC, KL</t>
  </si>
  <si>
    <t>2x Jameson, 2x Ciroc</t>
  </si>
  <si>
    <t>24/05/2026 17:00</t>
  </si>
  <si>
    <t>24/05/2026 17:05</t>
  </si>
  <si>
    <t>24/05/2026 17:20</t>
  </si>
  <si>
    <t>24/05/2026 17:55</t>
  </si>
  <si>
    <t>Fulfilled</t>
  </si>
  <si>
    <t>ML-1779610332978</t>
  </si>
  <si>
    <t>Test Customer</t>
  </si>
  <si>
    <t>1x Hennessy VS</t>
  </si>
  <si>
    <t>24/05/2026, 4:12:39 pm</t>
  </si>
  <si>
    <t/>
  </si>
  <si>
    <t>Test order</t>
  </si>
  <si>
    <t>ML-1779611856368</t>
  </si>
  <si>
    <t>2x Johnnie Walker Black Label, 1x Hennessy VS</t>
  </si>
  <si>
    <t>24/05/2026, 5:08:02 pm</t>
  </si>
  <si>
    <t>Please deliver before 9pm</t>
  </si>
  <si>
    <t>ML-1779610666105</t>
  </si>
  <si>
    <t>24/05/2026, 5:08:04 pm</t>
  </si>
  <si>
    <t>ML-1779610605277</t>
  </si>
  <si>
    <t>24/05/2026, 5:08:05 pm</t>
  </si>
  <si>
    <t>24/05/2026, 5:08:07 pm</t>
  </si>
  <si>
    <t>ML-1779609479122</t>
  </si>
  <si>
    <t>2x Johnnie Walker Black Label, 1x Hendricks Gin</t>
  </si>
  <si>
    <t>24/05/2026, 5:08:09 pm</t>
  </si>
  <si>
    <t>TOTAL ORDERS:</t>
  </si>
  <si>
    <t>TOTAL REVENUE (RM):</t>
  </si>
  <si>
    <t>FULFILLED:</t>
  </si>
  <si>
    <t>PENDING DELIVERY:</t>
  </si>
  <si>
    <t>ACCEPTED: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</si>
</sst>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DE047"/>
      <family val="2"/>
      <sz val="15"/>
      <name val="Arial"/>
    </font>
    <font>
      <b/>
      <color rgb="FFFDE047"/>
      <family val="2"/>
      <sz val="11"/>
      <name val="Arial"/>
    </font>
    <font>
      <color rgb="FFFFFFFF"/>
      <family val="2"/>
      <sz val="10"/>
      <name val="Arial"/>
    </font>
    <font>
      <b/>
      <color rgb="FF39FF14"/>
      <family val="2"/>
      <sz val="11"/>
      <name val="Arial"/>
    </font>
    <font>
      <b/>
      <color rgb="FFFF6B35"/>
      <family val="2"/>
      <sz val="11"/>
      <name val="Arial"/>
    </font>
    <font>
      <b/>
      <color rgb="FF00D4FF"/>
      <family val="2"/>
      <sz val="11"/>
      <name val="Arial"/>
    </font>
  </fonts>
  <fills count="5">
    <fill>
      <patternFill patternType="none"/>
    </fill>
    <fill>
      <patternFill patternType="gray125"/>
    </fill>
    <fill>
      <patternFill patternType="solid">
        <fgColor rgb="FF1A1A2E"/>
      </patternFill>
    </fill>
    <fill>
      <patternFill patternType="solid">
        <fgColor rgb="FF16162A"/>
      </patternFill>
    </fill>
    <fill>
      <patternFill patternType="solid">
        <fgColor rgb="FF1E1E30"/>
      </patternFill>
    </fill>
  </fills>
  <borders count="2">
    <border>
      <left/>
      <right/>
      <top/>
      <bottom/>
      <diagonal/>
    </border>
    <border>
      <left style="thin">
        <color rgb="FF333355"/>
      </left>
      <right style="thin">
        <color rgb="FF333355"/>
      </right>
      <top style="thin">
        <color rgb="FF333355"/>
      </top>
      <bottom style="thin">
        <color rgb="FF333355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vertical="center"/>
    </xf>
    <xf numFmtId="4" fontId="3" fillId="3" borderId="1" xfId="0" applyNumberFormat="1" applyFont="1" applyFill="1" applyBorder="1" applyAlignment="1">
      <alignment vertical="center"/>
    </xf>
    <xf numFmtId="0" fontId="3" fillId="4" borderId="1" xfId="0" applyFont="1" applyFill="1" applyBorder="1" applyAlignment="1">
      <alignment vertical="center"/>
    </xf>
    <xf numFmtId="4" fontId="3" fillId="4" borderId="1" xfId="0" applyNumberFormat="1" applyFont="1" applyFill="1" applyBorder="1" applyAlignment="1">
      <alignment vertical="center"/>
    </xf>
    <xf numFmtId="4" fontId="0" fillId="0" borderId="0" xfId="0" applyNumberFormat="1"/>
    <xf numFmtId="0" fontId="2" fillId="0" borderId="0" xfId="0" applyFont="1"/>
    <xf numFmtId="0" fontId="4" fillId="0" borderId="0" xfId="0" applyFont="1"/>
    <xf numFmtId="4" fontId="4" fillId="0" borderId="0" xfId="0" applyNumberFormat="1" applyFont="1"/>
    <xf numFmtId="0" fontId="5" fillId="0" borderId="0" xfId="0" applyFont="1"/>
    <xf numFmtId="0" fontId="6" fillId="0" borderId="0" xfId="0" applyFont="1"/>
  </cellXfs>
  <cellStyles count="1">
    <cellStyle name="Normal" xfId="0" builtinId="0"/>
  </cellStyles>
  <dxfs count="3">
    <dxf>
      <font>
        <b/>
        <color rgb="FF00D4FF"/>
      </font>
      <fill>
        <patternFill patternType="solid">
          <fgColor rgb="FF0A2A3A"/>
        </patternFill>
      </fill>
    </dxf>
    <dxf>
      <font>
        <b/>
        <color rgb="FFFF6B35"/>
      </font>
      <fill>
        <patternFill patternType="solid">
          <fgColor rgb="FF2A1A0A"/>
        </patternFill>
      </fill>
    </dxf>
    <dxf>
      <font>
        <b/>
        <color rgb="FF39FF14"/>
      </font>
      <fill>
        <patternFill patternType="solid">
          <fgColor rgb="FF0A2A0A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09"/>
  <sheetViews>
    <sheetView workbookViewId="0" showGridLines="0" zoomScale="100" zoomScaleNormal="100">
      <pane ySplit="2" topLeftCell="A3" activePane="bottomLeft" state="frozen"/>
      <selection pane="bottomLeft" activeCell="L6" sqref="L6"/>
    </sheetView>
  </sheetViews>
  <sheetFormatPr defaultRowHeight="15" outlineLevelRow="0" outlineLevelCol="0" x14ac:dyDescent="0.2" defaultColWidth="8.83203125"/>
  <cols>
    <col min="1" max="1" width="18" customWidth="1"/>
    <col min="2" max="2" width="22" customWidth="1"/>
    <col min="3" max="3" width="18" customWidth="1"/>
    <col min="4" max="4" width="30" customWidth="1"/>
    <col min="5" max="5" width="40" customWidth="1"/>
    <col min="6" max="6" width="14" customWidth="1"/>
    <col min="7" max="7" width="16" customWidth="1"/>
    <col min="8" max="11" width="22" customWidth="1"/>
    <col min="12" max="12" width="20" customWidth="1"/>
    <col min="13" max="13" width="25" customWidth="1"/>
  </cols>
  <sheetData>
    <row r="1" ht="42" customHeight="1" spans="1:13" x14ac:dyDescent="0.25">
      <c r="A1" s="1" t="s">
        <v>0</v>
      </c>
      <c r="B1"/>
      <c r="C1"/>
      <c r="D1"/>
      <c r="E1"/>
      <c r="F1"/>
      <c r="G1"/>
      <c r="H1"/>
      <c r="I1"/>
      <c r="J1"/>
      <c r="K1"/>
      <c r="L1"/>
      <c r="M1"/>
    </row>
    <row r="2" ht="24" customHeight="1" spans="1:13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</row>
    <row r="3" spans="1:13" x14ac:dyDescent="0.25">
      <c r="A3" s="3" t="s">
        <v>14</v>
      </c>
      <c r="B3" s="3" t="s">
        <v>15</v>
      </c>
      <c r="C3" s="3" t="s">
        <v>16</v>
      </c>
      <c r="D3" s="3" t="s">
        <v>17</v>
      </c>
      <c r="E3" s="3" t="s">
        <v>18</v>
      </c>
      <c r="F3" s="4">
        <v>537</v>
      </c>
      <c r="G3" s="3" t="s">
        <v>19</v>
      </c>
      <c r="H3" s="3" t="s">
        <v>20</v>
      </c>
      <c r="I3" s="3"/>
      <c r="J3" s="3"/>
      <c r="K3" s="3"/>
      <c r="L3" s="3" t="s">
        <v>21</v>
      </c>
      <c r="M3" s="3" t="s">
        <v>22</v>
      </c>
    </row>
    <row r="4" spans="1:13" x14ac:dyDescent="0.25">
      <c r="A4" s="5" t="s">
        <v>23</v>
      </c>
      <c r="B4" s="5" t="s">
        <v>24</v>
      </c>
      <c r="C4" s="5" t="s">
        <v>25</v>
      </c>
      <c r="D4" s="5" t="s">
        <v>26</v>
      </c>
      <c r="E4" s="5" t="s">
        <v>27</v>
      </c>
      <c r="F4" s="6">
        <v>478</v>
      </c>
      <c r="G4" s="5" t="s">
        <v>19</v>
      </c>
      <c r="H4" s="5" t="s">
        <v>28</v>
      </c>
      <c r="I4" s="5" t="s">
        <v>29</v>
      </c>
      <c r="J4" s="5" t="s">
        <v>30</v>
      </c>
      <c r="K4" s="5"/>
      <c r="L4" s="5" t="s">
        <v>31</v>
      </c>
      <c r="M4" s="5"/>
    </row>
    <row r="5" spans="1:13" x14ac:dyDescent="0.25">
      <c r="A5" s="3" t="s">
        <v>32</v>
      </c>
      <c r="B5" s="3" t="s">
        <v>33</v>
      </c>
      <c r="C5" s="3" t="s">
        <v>34</v>
      </c>
      <c r="D5" s="3" t="s">
        <v>35</v>
      </c>
      <c r="E5" s="3" t="s">
        <v>36</v>
      </c>
      <c r="F5" s="4">
        <v>596</v>
      </c>
      <c r="G5" s="3" t="s">
        <v>19</v>
      </c>
      <c r="H5" s="3" t="s">
        <v>37</v>
      </c>
      <c r="I5" s="3" t="s">
        <v>38</v>
      </c>
      <c r="J5" s="3" t="s">
        <v>39</v>
      </c>
      <c r="K5" s="3" t="s">
        <v>40</v>
      </c>
      <c r="L5" s="3" t="s">
        <v>41</v>
      </c>
      <c r="M5" s="3"/>
    </row>
    <row r="6" spans="1:13" x14ac:dyDescent="0.25">
      <c r="A6" t="s">
        <v>42</v>
      </c>
      <c r="B6" t="s">
        <v>43</v>
      </c>
      <c r="C6" t="s">
        <v>16</v>
      </c>
      <c r="D6" t="s">
        <v>35</v>
      </c>
      <c r="E6" t="s">
        <v>44</v>
      </c>
      <c r="F6" s="7">
        <v>199</v>
      </c>
      <c r="G6" t="s">
        <v>19</v>
      </c>
      <c r="H6" t="s">
        <v>45</v>
      </c>
      <c r="I6" t="s">
        <v>45</v>
      </c>
      <c r="J6" t="s">
        <v>46</v>
      </c>
      <c r="K6" t="s">
        <v>46</v>
      </c>
      <c r="L6" t="s">
        <v>21</v>
      </c>
      <c r="M6" t="s">
        <v>47</v>
      </c>
    </row>
    <row r="7" spans="1:13" x14ac:dyDescent="0.25">
      <c r="A7" t="s">
        <v>48</v>
      </c>
      <c r="B7" t="s">
        <v>15</v>
      </c>
      <c r="C7" t="s">
        <v>16</v>
      </c>
      <c r="D7" t="s">
        <v>17</v>
      </c>
      <c r="E7" t="s">
        <v>49</v>
      </c>
      <c r="F7" s="7">
        <v>577</v>
      </c>
      <c r="G7" t="s">
        <v>19</v>
      </c>
      <c r="H7" t="s">
        <v>50</v>
      </c>
      <c r="I7" t="s">
        <v>50</v>
      </c>
      <c r="J7" t="s">
        <v>46</v>
      </c>
      <c r="K7" t="s">
        <v>46</v>
      </c>
      <c r="L7" t="s">
        <v>21</v>
      </c>
      <c r="M7" t="s">
        <v>51</v>
      </c>
    </row>
    <row r="8" spans="1:13" x14ac:dyDescent="0.25">
      <c r="A8" t="s">
        <v>52</v>
      </c>
      <c r="B8" t="s">
        <v>15</v>
      </c>
      <c r="C8" t="s">
        <v>16</v>
      </c>
      <c r="D8" t="s">
        <v>17</v>
      </c>
      <c r="E8" t="s">
        <v>49</v>
      </c>
      <c r="F8" s="7">
        <v>577</v>
      </c>
      <c r="G8" t="s">
        <v>19</v>
      </c>
      <c r="H8" t="s">
        <v>53</v>
      </c>
      <c r="I8" t="s">
        <v>53</v>
      </c>
      <c r="J8" t="s">
        <v>46</v>
      </c>
      <c r="K8" t="s">
        <v>46</v>
      </c>
      <c r="L8" t="s">
        <v>21</v>
      </c>
      <c r="M8" t="s">
        <v>51</v>
      </c>
    </row>
    <row r="9" spans="1:13" x14ac:dyDescent="0.25">
      <c r="A9" t="s">
        <v>54</v>
      </c>
      <c r="B9" t="s">
        <v>15</v>
      </c>
      <c r="C9" t="s">
        <v>16</v>
      </c>
      <c r="D9" t="s">
        <v>17</v>
      </c>
      <c r="E9" t="s">
        <v>49</v>
      </c>
      <c r="F9" s="7">
        <v>577</v>
      </c>
      <c r="G9" t="s">
        <v>19</v>
      </c>
      <c r="H9" t="s">
        <v>55</v>
      </c>
      <c r="I9" t="s">
        <v>55</v>
      </c>
      <c r="J9" t="s">
        <v>46</v>
      </c>
      <c r="K9" t="s">
        <v>46</v>
      </c>
      <c r="L9" t="s">
        <v>21</v>
      </c>
      <c r="M9" t="s">
        <v>51</v>
      </c>
    </row>
    <row r="10" spans="1:13" x14ac:dyDescent="0.25">
      <c r="A10" t="s">
        <v>42</v>
      </c>
      <c r="B10" t="s">
        <v>43</v>
      </c>
      <c r="C10" t="s">
        <v>16</v>
      </c>
      <c r="D10" t="s">
        <v>35</v>
      </c>
      <c r="E10" t="s">
        <v>44</v>
      </c>
      <c r="F10" s="7">
        <v>199</v>
      </c>
      <c r="G10" t="s">
        <v>19</v>
      </c>
      <c r="H10" t="s">
        <v>56</v>
      </c>
      <c r="I10" t="s">
        <v>56</v>
      </c>
      <c r="J10" t="s">
        <v>46</v>
      </c>
      <c r="K10" t="s">
        <v>46</v>
      </c>
      <c r="L10" t="s">
        <v>21</v>
      </c>
      <c r="M10" t="s">
        <v>47</v>
      </c>
    </row>
    <row r="11" spans="1:13" x14ac:dyDescent="0.25">
      <c r="A11" t="s">
        <v>57</v>
      </c>
      <c r="B11" t="s">
        <v>15</v>
      </c>
      <c r="C11" t="s">
        <v>16</v>
      </c>
      <c r="D11" t="s">
        <v>17</v>
      </c>
      <c r="E11" t="s">
        <v>58</v>
      </c>
      <c r="F11" s="7">
        <v>537</v>
      </c>
      <c r="G11" t="s">
        <v>19</v>
      </c>
      <c r="H11" t="s">
        <v>59</v>
      </c>
      <c r="I11" t="s">
        <v>59</v>
      </c>
      <c r="J11" t="s">
        <v>46</v>
      </c>
      <c r="K11" t="s">
        <v>46</v>
      </c>
      <c r="L11" t="s">
        <v>21</v>
      </c>
      <c r="M11" t="s">
        <v>51</v>
      </c>
    </row>
    <row r="505" spans="12:13" x14ac:dyDescent="0.25">
      <c r="L505" s="8" t="s">
        <v>60</v>
      </c>
      <c r="M505" s="8">
        <f>COUNTA(A3:A500)</f>
        <v>4</v>
      </c>
    </row>
    <row r="506" spans="12:13" x14ac:dyDescent="0.25">
      <c r="L506" s="9" t="s">
        <v>61</v>
      </c>
      <c r="M506" s="10">
        <f>SUMIF(L3:L500,"Fulfilled",F3:F500)</f>
        <v>596</v>
      </c>
    </row>
    <row r="507" spans="12:13" x14ac:dyDescent="0.25">
      <c r="L507" s="9" t="s">
        <v>62</v>
      </c>
      <c r="M507" s="9">
        <f>COUNTIF(L3:L500,"Fulfilled")</f>
        <v>1</v>
      </c>
    </row>
    <row r="508" spans="12:13" x14ac:dyDescent="0.25">
      <c r="L508" s="11" t="s">
        <v>63</v>
      </c>
      <c r="M508" s="11">
        <f>COUNTIF(L3:L500,"Pending Delivery")</f>
        <v>1</v>
      </c>
    </row>
    <row r="509" spans="12:13" x14ac:dyDescent="0.25">
      <c r="L509" s="12" t="s">
        <v>64</v>
      </c>
      <c r="M509" s="12">
        <f>COUNTIF(L3:L500,"Accept")</f>
        <v>2</v>
      </c>
    </row>
  </sheetData>
  <mergeCells count="1">
    <mergeCell ref="A1:M1"/>
  </mergeCells>
  <conditionalFormatting sqref="L3:L500">
    <cfRule type="cellIs" dxfId="0" priority="1" operator="equal">
      <formula>"Accept"</formula>
    </cfRule>
    <cfRule type="cellIs" dxfId="1" priority="2" operator="equal">
      <formula>"Pending Delivery"</formula>
    </cfRule>
    <cfRule type="cellIs" dxfId="2" priority="3" operator="equal">
      <formula>"Fulfilled"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 Orders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2026-05-24T08:06:41Z</dcterms:created>
  <dcterms:modified xsi:type="dcterms:W3CDTF">2026-05-24T08:13:44Z</dcterms:modified>
</cp:coreProperties>
</file>