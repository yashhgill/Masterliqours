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y Orders" state="visible" r:id="rId4"/>
  </sheets>
  <calcPr calcId="171027"/>
</workbook>
</file>

<file path=xl/sharedStrings.xml><?xml version="1.0" encoding="utf-8"?>
<sst xmlns="http://schemas.openxmlformats.org/spreadsheetml/2006/main" count="109" uniqueCount="61">
  <si>
    <t>📋 YASH'S ORDER DASHBOARD — Master Liquors</t>
  </si>
  <si>
    <t>Order ID</t>
  </si>
  <si>
    <t>Customer Name</t>
  </si>
  <si>
    <t>Phone</t>
  </si>
  <si>
    <t>Address</t>
  </si>
  <si>
    <t>Items</t>
  </si>
  <si>
    <t>Total (RM)</t>
  </si>
  <si>
    <t>Order Placed</t>
  </si>
  <si>
    <t>Date Accepted</t>
  </si>
  <si>
    <t>Date Out for Del.</t>
  </si>
  <si>
    <t>Date Fulfilled</t>
  </si>
  <si>
    <t>Status</t>
  </si>
  <si>
    <t>Notes</t>
  </si>
  <si>
    <t>ML-SAMPLE01</t>
  </si>
  <si>
    <t>Ahmad Razif</t>
  </si>
  <si>
    <t>60123456789</t>
  </si>
  <si>
    <t>Bangsar, KL</t>
  </si>
  <si>
    <t>2x JW Black, 1x Hendricks Gin</t>
  </si>
  <si>
    <t>24/05/2026 15:57</t>
  </si>
  <si>
    <t>Accept</t>
  </si>
  <si>
    <t>Leave at front</t>
  </si>
  <si>
    <t>ML-SAMPLE02</t>
  </si>
  <si>
    <t>Priya Nair</t>
  </si>
  <si>
    <t>60187654321</t>
  </si>
  <si>
    <t>Mont Kiara, KL</t>
  </si>
  <si>
    <t>1x Hennessy VSOP, 1x Grey Goose</t>
  </si>
  <si>
    <t>24/05/2026 16:10</t>
  </si>
  <si>
    <t>24/05/2026 16:15</t>
  </si>
  <si>
    <t>24/05/2026 16:30</t>
  </si>
  <si>
    <t>Pending Delivery</t>
  </si>
  <si>
    <t>ML-SAMPLE03</t>
  </si>
  <si>
    <t>Jason Lim</t>
  </si>
  <si>
    <t>60111234567</t>
  </si>
  <si>
    <t>KLCC, KL</t>
  </si>
  <si>
    <t>2x Jameson, 2x Ciroc</t>
  </si>
  <si>
    <t>24/05/2026 17:00</t>
  </si>
  <si>
    <t>24/05/2026 17:05</t>
  </si>
  <si>
    <t>24/05/2026 17:20</t>
  </si>
  <si>
    <t>24/05/2026 17:55</t>
  </si>
  <si>
    <t>Fulfilled</t>
  </si>
  <si>
    <t>ML-1779610332978</t>
  </si>
  <si>
    <t>Test Customer</t>
  </si>
  <si>
    <t>1x Hennessy VS</t>
  </si>
  <si>
    <t>24/05/2026, 4:12:39 pm</t>
  </si>
  <si>
    <t/>
  </si>
  <si>
    <t>Test order</t>
  </si>
  <si>
    <t>ML-1779611856368</t>
  </si>
  <si>
    <t>2x Johnnie Walker Black Label, 1x Hennessy VS</t>
  </si>
  <si>
    <t>24/05/2026, 5:08:02 pm</t>
  </si>
  <si>
    <t>Please deliver before 9pm</t>
  </si>
  <si>
    <t>ML-1779610666105</t>
  </si>
  <si>
    <t>24/05/2026, 5:08:04 pm</t>
  </si>
  <si>
    <t>ML-1779610605277</t>
  </si>
  <si>
    <t>24/05/2026, 5:08:05 pm</t>
  </si>
  <si>
    <t>24/05/2026, 5:08:07 pm</t>
  </si>
  <si>
    <t>ML-1779609479122</t>
  </si>
  <si>
    <t>2x Johnnie Walker Black Label, 1x Hendricks Gin</t>
  </si>
  <si>
    <t>24/05/2026, 5:08:09 pm</t>
  </si>
  <si>
    <t>TOTAL ORDERS:</t>
  </si>
  <si>
    <t>REVENUE (RM):</t>
  </si>
  <si>
    <t>PENDING DELIVERY: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</si>
</sst>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107A"/>
      <sz val="14"/>
      <name val="Arial"/>
    </font>
    <font>
      <b/>
      <color rgb="FFFF107A"/>
      <sz val="11"/>
      <name val="Arial"/>
    </font>
    <font>
      <color rgb="FFFFFFFF"/>
      <sz val="10"/>
      <name val="Arial"/>
    </font>
    <font>
      <b/>
      <color rgb="FFFDE047"/>
      <name val="Arial"/>
    </font>
    <font>
      <b/>
      <color rgb="FF39FF14"/>
      <name val="Arial"/>
    </font>
    <font>
      <b/>
      <color rgb="FFFF6B35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162A"/>
      </patternFill>
    </fill>
    <fill>
      <patternFill patternType="solid">
        <fgColor rgb="FF1E1E30"/>
      </patternFill>
    </fill>
    <fill>
      <patternFill/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4" fontId="0" fillId="0" borderId="0" xfId="0" applyNumberFormat="1"/>
    <xf numFmtId="0" fontId="4" fillId="5" borderId="0" xfId="0" applyFont="1" applyFill="1"/>
    <xf numFmtId="0" fontId="5" fillId="5" borderId="0" xfId="0" applyFont="1" applyFill="1"/>
    <xf numFmtId="4" fontId="5" fillId="5" borderId="0" xfId="0" applyNumberFormat="1" applyFont="1" applyFill="1"/>
    <xf numFmtId="0" fontId="6" fillId="5" borderId="0" xfId="0" applyFont="1" applyFill="1"/>
  </cellXfs>
  <cellStyles count="1">
    <cellStyle name="Normal" xfId="0" builtinId="0"/>
  </cellStyles>
  <dxfs count="3">
    <dxf>
      <font>
        <b/>
        <color rgb="FF00D4FF"/>
      </font>
      <fill>
        <patternFill patternType="solid">
          <fgColor rgb="FF0A2A3A"/>
        </patternFill>
      </fill>
    </dxf>
    <dxf>
      <font>
        <b/>
        <color rgb="FFFF6B35"/>
      </font>
      <fill>
        <patternFill patternType="solid">
          <fgColor rgb="FF2A1A0A"/>
        </patternFill>
      </fill>
    </dxf>
    <dxf>
      <font>
        <b/>
        <color rgb="FF39FF14"/>
      </font>
      <fill>
        <patternFill patternType="solid">
          <fgColor rgb="FF0A2A0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07"/>
  <sheetViews>
    <sheetView workbookViewId="0" showGridLines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2" customWidth="1"/>
    <col min="3" max="3" width="18" customWidth="1"/>
    <col min="4" max="4" width="30" customWidth="1"/>
    <col min="5" max="5" width="40" customWidth="1"/>
    <col min="6" max="6" width="14" customWidth="1"/>
    <col min="7" max="10" width="22" customWidth="1"/>
    <col min="11" max="11" width="20" customWidth="1"/>
    <col min="12" max="12" width="25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24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537</v>
      </c>
      <c r="G3" s="3" t="s">
        <v>18</v>
      </c>
      <c r="H3" s="3"/>
      <c r="I3" s="3"/>
      <c r="J3" s="3"/>
      <c r="K3" s="3" t="s">
        <v>19</v>
      </c>
      <c r="L3" s="3" t="s">
        <v>20</v>
      </c>
    </row>
    <row r="4" spans="1:12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6">
        <v>478</v>
      </c>
      <c r="G4" s="5" t="s">
        <v>26</v>
      </c>
      <c r="H4" s="5" t="s">
        <v>27</v>
      </c>
      <c r="I4" s="5" t="s">
        <v>28</v>
      </c>
      <c r="J4" s="5"/>
      <c r="K4" s="5" t="s">
        <v>29</v>
      </c>
      <c r="L4" s="5"/>
    </row>
    <row r="5" spans="1:12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4">
        <v>596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3"/>
    </row>
    <row r="6" spans="1:12" x14ac:dyDescent="0.25">
      <c r="A6" t="s">
        <v>40</v>
      </c>
      <c r="B6" t="s">
        <v>41</v>
      </c>
      <c r="C6" t="s">
        <v>15</v>
      </c>
      <c r="D6" t="s">
        <v>33</v>
      </c>
      <c r="E6" t="s">
        <v>42</v>
      </c>
      <c r="F6" s="7">
        <v>199</v>
      </c>
      <c r="G6" t="s">
        <v>43</v>
      </c>
      <c r="H6" t="s">
        <v>43</v>
      </c>
      <c r="I6" t="s">
        <v>44</v>
      </c>
      <c r="J6" t="s">
        <v>44</v>
      </c>
      <c r="K6" t="s">
        <v>19</v>
      </c>
      <c r="L6" t="s">
        <v>45</v>
      </c>
    </row>
    <row r="7" spans="1:12" x14ac:dyDescent="0.25">
      <c r="A7" t="s">
        <v>46</v>
      </c>
      <c r="B7" t="s">
        <v>14</v>
      </c>
      <c r="C7" t="s">
        <v>15</v>
      </c>
      <c r="D7" t="s">
        <v>16</v>
      </c>
      <c r="E7" t="s">
        <v>47</v>
      </c>
      <c r="F7" s="7">
        <v>577</v>
      </c>
      <c r="G7" t="s">
        <v>48</v>
      </c>
      <c r="H7" t="s">
        <v>48</v>
      </c>
      <c r="I7" t="s">
        <v>44</v>
      </c>
      <c r="J7" t="s">
        <v>44</v>
      </c>
      <c r="K7" t="s">
        <v>19</v>
      </c>
      <c r="L7" t="s">
        <v>49</v>
      </c>
    </row>
    <row r="8" spans="1:12" x14ac:dyDescent="0.25">
      <c r="A8" t="s">
        <v>50</v>
      </c>
      <c r="B8" t="s">
        <v>14</v>
      </c>
      <c r="C8" t="s">
        <v>15</v>
      </c>
      <c r="D8" t="s">
        <v>16</v>
      </c>
      <c r="E8" t="s">
        <v>47</v>
      </c>
      <c r="F8" s="7">
        <v>577</v>
      </c>
      <c r="G8" t="s">
        <v>51</v>
      </c>
      <c r="H8" t="s">
        <v>51</v>
      </c>
      <c r="I8" t="s">
        <v>44</v>
      </c>
      <c r="J8" t="s">
        <v>44</v>
      </c>
      <c r="K8" t="s">
        <v>19</v>
      </c>
      <c r="L8" t="s">
        <v>49</v>
      </c>
    </row>
    <row r="9" spans="1:12" x14ac:dyDescent="0.25">
      <c r="A9" t="s">
        <v>52</v>
      </c>
      <c r="B9" t="s">
        <v>14</v>
      </c>
      <c r="C9" t="s">
        <v>15</v>
      </c>
      <c r="D9" t="s">
        <v>16</v>
      </c>
      <c r="E9" t="s">
        <v>47</v>
      </c>
      <c r="F9" s="7">
        <v>577</v>
      </c>
      <c r="G9" t="s">
        <v>53</v>
      </c>
      <c r="H9" t="s">
        <v>53</v>
      </c>
      <c r="I9" t="s">
        <v>44</v>
      </c>
      <c r="J9" t="s">
        <v>44</v>
      </c>
      <c r="K9" t="s">
        <v>19</v>
      </c>
      <c r="L9" t="s">
        <v>49</v>
      </c>
    </row>
    <row r="10" spans="1:12" x14ac:dyDescent="0.25">
      <c r="A10" t="s">
        <v>40</v>
      </c>
      <c r="B10" t="s">
        <v>41</v>
      </c>
      <c r="C10" t="s">
        <v>15</v>
      </c>
      <c r="D10" t="s">
        <v>33</v>
      </c>
      <c r="E10" t="s">
        <v>42</v>
      </c>
      <c r="F10" s="7">
        <v>199</v>
      </c>
      <c r="G10" t="s">
        <v>54</v>
      </c>
      <c r="H10" t="s">
        <v>54</v>
      </c>
      <c r="I10" t="s">
        <v>44</v>
      </c>
      <c r="J10" t="s">
        <v>44</v>
      </c>
      <c r="K10" t="s">
        <v>19</v>
      </c>
      <c r="L10" t="s">
        <v>45</v>
      </c>
    </row>
    <row r="11" spans="1:12" x14ac:dyDescent="0.25">
      <c r="A11" t="s">
        <v>55</v>
      </c>
      <c r="B11" t="s">
        <v>14</v>
      </c>
      <c r="C11" t="s">
        <v>15</v>
      </c>
      <c r="D11" t="s">
        <v>16</v>
      </c>
      <c r="E11" t="s">
        <v>56</v>
      </c>
      <c r="F11" s="7">
        <v>537</v>
      </c>
      <c r="G11" t="s">
        <v>57</v>
      </c>
      <c r="H11" t="s">
        <v>57</v>
      </c>
      <c r="I11" t="s">
        <v>44</v>
      </c>
      <c r="J11" t="s">
        <v>44</v>
      </c>
      <c r="K11" t="s">
        <v>19</v>
      </c>
      <c r="L11" t="s">
        <v>49</v>
      </c>
    </row>
    <row r="505" spans="10:11" x14ac:dyDescent="0.25">
      <c r="J505" s="8" t="s">
        <v>58</v>
      </c>
      <c r="K505" s="8">
        <f>COUNTA(A3:A500)</f>
      </c>
    </row>
    <row r="506" spans="10:11" x14ac:dyDescent="0.25">
      <c r="J506" s="9" t="s">
        <v>59</v>
      </c>
      <c r="K506" s="10">
        <f>SUMIF(K3:K500,"Fulfilled",F3:F500)</f>
      </c>
    </row>
    <row r="507" spans="10:11" x14ac:dyDescent="0.25">
      <c r="J507" s="11" t="s">
        <v>60</v>
      </c>
      <c r="K507" s="11">
        <f>COUNTIF(K3:K500,"Pending Delivery")</f>
      </c>
    </row>
  </sheetData>
  <mergeCells count="1">
    <mergeCell ref="A1:L1"/>
  </mergeCells>
  <conditionalFormatting sqref="K3:K500">
    <cfRule type="cellIs" dxfId="0" priority="1" operator="equal">
      <formula>"Accept"</formula>
    </cfRule>
    <cfRule type="cellIs" dxfId="1" priority="2" operator="equal">
      <formula>"Pending Delivery"</formula>
    </cfRule>
    <cfRule type="cellIs" dxfId="2" priority="3" operator="equal">
      <formula>"Fulfilled"</formula>
    </cfRule>
  </conditionalFormatting>
  <dataValidations count="2">
    <dataValidation type="list" allowBlank="1" showErrorMessage="1" errorTitle="Invalid" error="Choose: Accept, Pending Delivery, or Fulfilled" sqref="K10:K500">
      <formula1>"Accept,Pending Delivery,Fulfilled"</formula1>
    </dataValidation>
    <dataValidation type="list" allowBlank="1" showErrorMessage="1" errorTitle="Invalid" error="Choose: Accept, Pending Delivery, or Fulfilled" sqref="K3:K500">
      <formula1>"Accept,Pending Delivery,Fulfilled"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2026-05-24T08:06:41Z</dcterms:created>
  <dcterms:modified xsi:type="dcterms:W3CDTF">2026-05-24T08:06:41Z</dcterms:modified>
</cp:coreProperties>
</file>